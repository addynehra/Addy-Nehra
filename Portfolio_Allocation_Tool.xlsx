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5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Risk Profiles" sheetId="2" state="visible" r:id="rId4"/>
    <sheet name="Model Portfolio Builder" sheetId="3" state="visible" r:id="rId5"/>
    <sheet name="Rebalancing" sheetId="4" state="visible" r:id="rId6"/>
    <sheet name="Performanc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Arial"/>
            <family val="2"/>
          </rPr>
          <t xml:space="preserve">Set this to match how often the uploaded values are spaced: 12 = monthly, 4 = quarterly, 52 = weekly, 1 = annual. Used to annualize volatility.</t>
        </r>
      </text>
    </comment>
  </commentList>
</comments>
</file>

<file path=xl/sharedStrings.xml><?xml version="1.0" encoding="utf-8"?>
<sst xmlns="http://schemas.openxmlformats.org/spreadsheetml/2006/main" count="84" uniqueCount="67">
  <si>
    <t xml:space="preserve">Portfolio Allocation Tool</t>
  </si>
  <si>
    <t xml:space="preserve">Model portfolios, rebalancing, and historical performance in one workbook</t>
  </si>
  <si>
    <t xml:space="preserve">How this workbook is organized</t>
  </si>
  <si>
    <t xml:space="preserve">1. Risk Profiles — the target-weight library (Conservative / Balanced / Growth / Aggressive) across Equities, Bonds, Cash and Alternatives. Edit these if your firm uses different model weights.</t>
  </si>
  <si>
    <t xml:space="preserve">2. Model Portfolio Builder — enter a client name, total portfolio value, and risk profile; the sheet looks up the matching target weights and computes the $ allocation for each asset class.</t>
  </si>
  <si>
    <t xml:space="preserve">3. Rebalancing — pulls the target weights/$ from the Model Portfolio Builder and compares them to the client's current holdings (entered by asset class) to show drift and the buy/sell trade needed.</t>
  </si>
  <si>
    <t xml:space="preserve">4. Performance — paste a client's historical valuation snapshots (Date, Portfolio Value) and the sheet computes period returns, cumulative return, CAGR, and annualized volatility, plus a chart.</t>
  </si>
  <si>
    <t xml:space="preserve">Color legend</t>
  </si>
  <si>
    <t xml:space="preserve">Blue text = your input (edit these cells)</t>
  </si>
  <si>
    <t xml:space="preserve">Black text = calculated by formula (do not overwrite)</t>
  </si>
  <si>
    <t xml:space="preserve">Green text = a link pulled from another tab (do not overwrite)</t>
  </si>
  <si>
    <t xml:space="preserve">Yellow fill = key assumption — check before relying on the output</t>
  </si>
  <si>
    <t xml:space="preserve">Getting started</t>
  </si>
  <si>
    <t xml:space="preserve">• Go to "Model Portfolio Builder", fill in the blue cells (Client Name, Total Portfolio Value, Risk Profile).</t>
  </si>
  <si>
    <t xml:space="preserve">• Go to "Rebalancing", enter the client's current $ value in each asset class (blue cells) to see drift and trades.</t>
  </si>
  <si>
    <t xml:space="preserve">• Go to "Performance", replace the sample Date/Value rows with the client's actual historical valuations (same two columns — Date, Portfolio Value). Extend the formulas in columns C–D down if you add rows.</t>
  </si>
  <si>
    <t xml:space="preserve">Risk Profile Target Weights</t>
  </si>
  <si>
    <t xml:space="preserve">Standard 4-bucket model — edit the blue weights to match your firm's models. Each row must total 100%.</t>
  </si>
  <si>
    <t xml:space="preserve">Risk Profile</t>
  </si>
  <si>
    <t xml:space="preserve">Equities</t>
  </si>
  <si>
    <t xml:space="preserve">Bonds</t>
  </si>
  <si>
    <t xml:space="preserve">Cash</t>
  </si>
  <si>
    <t xml:space="preserve">Alternatives</t>
  </si>
  <si>
    <t xml:space="preserve">Total</t>
  </si>
  <si>
    <t xml:space="preserve">Conservative</t>
  </si>
  <si>
    <t xml:space="preserve">Balanced</t>
  </si>
  <si>
    <t xml:space="preserve">Growth</t>
  </si>
  <si>
    <t xml:space="preserve">Aggressive</t>
  </si>
  <si>
    <t xml:space="preserve">Note: weights are illustrative sample targets provided as a starting template, not investment advice — replace with your firm's approved model weights.</t>
  </si>
  <si>
    <t xml:space="preserve">Model Portfolio Builder</t>
  </si>
  <si>
    <t xml:space="preserve">Enter the client's details below — target allocation is looked up from the Risk Profiles tab.</t>
  </si>
  <si>
    <t xml:space="preserve">Client Name</t>
  </si>
  <si>
    <t xml:space="preserve">Jane Sample</t>
  </si>
  <si>
    <t xml:space="preserve">Total Portfolio Value ($)</t>
  </si>
  <si>
    <t xml:space="preserve">Asset Class</t>
  </si>
  <si>
    <t xml:space="preserve">Target Weight</t>
  </si>
  <si>
    <t xml:space="preserve">Target $ Allocation</t>
  </si>
  <si>
    <t xml:space="preserve">Rebalancing</t>
  </si>
  <si>
    <t xml:space="preserve">Enter the client's current $ value per asset class (blue) to see drift from target and required trades.</t>
  </si>
  <si>
    <t xml:space="preserve">Target $</t>
  </si>
  <si>
    <t xml:space="preserve">Current $</t>
  </si>
  <si>
    <t xml:space="preserve">Current Weight</t>
  </si>
  <si>
    <t xml:space="preserve">Drift $</t>
  </si>
  <si>
    <t xml:space="preserve">Drift %</t>
  </si>
  <si>
    <t xml:space="preserve">Action</t>
  </si>
  <si>
    <t xml:space="preserve">Trade $</t>
  </si>
  <si>
    <t xml:space="preserve">If "Current $" doesn't sum to the Total Portfolio Value, Current Weight is normalized to the sum of the values you entered here; Drift $/% still compares to the Model Portfolio Builder's target $, which is based on Total Portfolio Value.</t>
  </si>
  <si>
    <t xml:space="preserve">Performance</t>
  </si>
  <si>
    <t xml:space="preserve">Replace the sample Date/Portfolio Value rows below with the client's actual historical valuations.</t>
  </si>
  <si>
    <t xml:space="preserve">Valuation frequency (periods/year)</t>
  </si>
  <si>
    <t xml:space="preserve">Date</t>
  </si>
  <si>
    <t xml:space="preserve">Portfolio Value ($)</t>
  </si>
  <si>
    <t xml:space="preserve">Period Return %</t>
  </si>
  <si>
    <t xml:space="preserve">Cumulative Return %</t>
  </si>
  <si>
    <t xml:space="preserve">Summary</t>
  </si>
  <si>
    <t xml:space="preserve">Start Date</t>
  </si>
  <si>
    <t xml:space="preserve">End Date</t>
  </si>
  <si>
    <t xml:space="preserve">Start Value</t>
  </si>
  <si>
    <t xml:space="preserve">End Value</t>
  </si>
  <si>
    <t xml:space="preserve">Total Return %</t>
  </si>
  <si>
    <t xml:space="preserve">Years Elapsed</t>
  </si>
  <si>
    <t xml:space="preserve">CAGR %</t>
  </si>
  <si>
    <t xml:space="preserve">Avg Period Return %</t>
  </si>
  <si>
    <t xml:space="preserve">Annualized Volatility %</t>
  </si>
  <si>
    <t xml:space="preserve">Best Period %</t>
  </si>
  <si>
    <t xml:space="preserve">Worst Period %</t>
  </si>
  <si>
    <t xml:space="preserve">Sample data above is illustrative only — replace rows 7 onward with the client's actual Date / Portfolio Value history (keep the same two columns). Extend the Period Return % and Cumulative Return % formulas down if you add more rows, and update the summary box's row references if the data no longer ends at the row shown.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</si>
</sst>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;\(0.0%\);\-"/>
    <numFmt numFmtId="166" formatCode="\$#,##0;&quot;($&quot;#,##0\);\-"/>
    <numFmt numFmtId="167" formatCode="mm/dd/yyyy"/>
    <numFmt numFmtId="168" formatCode="0.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7F7F7F"/>
      <name val="Arial"/>
      <family val="0"/>
      <charset val="1"/>
    </font>
    <font>
      <sz val="11"/>
      <color rgb="FF008000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7F7F7F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595959"/>
      <rgbColor rgb="FF87878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Portfolio Value Over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Performance!B6</c:f>
              <c:strCache>
                <c:ptCount val="1"/>
                <c:pt idx="0">
                  <c:v>Portfolio Value ($)</c:v>
                </c:pt>
              </c:strCache>
            </c:strRef>
          </c:tx>
          <c:spPr>
            <a:solidFill>
              <a:srgbClr val="4a7ebb"/>
            </a:solidFill>
            <a:ln w="2016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Performance!$A$7:$A$19</c:f>
              <c:strCache>
                <c:ptCount val="13"/>
                <c:pt idx="0">
                  <c:v>01/28/2025</c:v>
                </c:pt>
                <c:pt idx="1">
                  <c:v>02/28/2025</c:v>
                </c:pt>
                <c:pt idx="2">
                  <c:v>03/28/2025</c:v>
                </c:pt>
                <c:pt idx="3">
                  <c:v>04/28/2025</c:v>
                </c:pt>
                <c:pt idx="4">
                  <c:v>05/28/2025</c:v>
                </c:pt>
                <c:pt idx="5">
                  <c:v>06/28/2025</c:v>
                </c:pt>
                <c:pt idx="6">
                  <c:v>07/28/2025</c:v>
                </c:pt>
                <c:pt idx="7">
                  <c:v>08/28/2025</c:v>
                </c:pt>
                <c:pt idx="8">
                  <c:v>09/28/2025</c:v>
                </c:pt>
                <c:pt idx="9">
                  <c:v>10/28/2025</c:v>
                </c:pt>
                <c:pt idx="10">
                  <c:v>11/28/2025</c:v>
                </c:pt>
                <c:pt idx="11">
                  <c:v>12/28/2025</c:v>
                </c:pt>
                <c:pt idx="12">
                  <c:v>01/28/2026</c:v>
                </c:pt>
              </c:strCache>
            </c:strRef>
          </c:cat>
          <c:val>
            <c:numRef>
              <c:f>Performance!$B$7:$B$19</c:f>
              <c:numCache>
                <c:formatCode>\$#,##0;"($"#,##0\);\-</c:formatCode>
                <c:ptCount val="13"/>
                <c:pt idx="0">
                  <c:v>500000</c:v>
                </c:pt>
                <c:pt idx="1">
                  <c:v>508500</c:v>
                </c:pt>
                <c:pt idx="2">
                  <c:v>495200</c:v>
                </c:pt>
                <c:pt idx="3">
                  <c:v>512800</c:v>
                </c:pt>
                <c:pt idx="4">
                  <c:v>520100</c:v>
                </c:pt>
                <c:pt idx="5">
                  <c:v>517600</c:v>
                </c:pt>
                <c:pt idx="6">
                  <c:v>531900</c:v>
                </c:pt>
                <c:pt idx="7">
                  <c:v>540200</c:v>
                </c:pt>
                <c:pt idx="8">
                  <c:v>536700</c:v>
                </c:pt>
                <c:pt idx="9">
                  <c:v>549800</c:v>
                </c:pt>
                <c:pt idx="10">
                  <c:v>558300</c:v>
                </c:pt>
                <c:pt idx="11">
                  <c:v>552100</c:v>
                </c:pt>
                <c:pt idx="12">
                  <c:v>566900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9181769"/>
        <c:axId val="90692738"/>
      </c:lineChart>
      <c:catAx>
        <c:axId val="9918176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mm/dd/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692738"/>
        <c:crosses val="autoZero"/>
        <c:auto val="1"/>
        <c:lblAlgn val="ctr"/>
        <c:lblOffset val="100"/>
        <c:noMultiLvlLbl val="0"/>
      </c:catAx>
      <c:valAx>
        <c:axId val="906927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Portfolio Value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18176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16</xdr:row>
      <xdr:rowOff>170640</xdr:rowOff>
    </xdr:from>
    <xdr:to>
      <xdr:col>10</xdr:col>
      <xdr:colOff>647280</xdr:colOff>
      <xdr:row>32</xdr:row>
      <xdr:rowOff>3600</xdr:rowOff>
    </xdr:to>
    <xdr:graphicFrame>
      <xdr:nvGraphicFramePr>
        <xdr:cNvPr id="0" name="Chart 1"/>
        <xdr:cNvGraphicFramePr/>
      </xdr:nvGraphicFramePr>
      <xdr:xfrm>
        <a:off x="5511960" y="342900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3.75" hidden="false" customHeight="true" outlineLevel="0" collapsed="false">
      <c r="B5" s="3" t="s">
        <v>2</v>
      </c>
    </row>
    <row r="6" customFormat="false" ht="26.85" hidden="false" customHeight="false" outlineLevel="0" collapsed="false">
      <c r="B6" s="4" t="s">
        <v>3</v>
      </c>
    </row>
    <row r="7" customFormat="false" ht="26.85" hidden="false" customHeight="false" outlineLevel="0" collapsed="false">
      <c r="B7" s="4" t="s">
        <v>4</v>
      </c>
    </row>
    <row r="8" customFormat="false" ht="26.85" hidden="false" customHeight="false" outlineLevel="0" collapsed="false">
      <c r="B8" s="4" t="s">
        <v>5</v>
      </c>
    </row>
    <row r="9" customFormat="false" ht="26.85" hidden="false" customHeight="false" outlineLevel="0" collapsed="false">
      <c r="B9" s="4" t="s">
        <v>6</v>
      </c>
    </row>
    <row r="10" customFormat="false" ht="15" hidden="false" customHeight="false" outlineLevel="0" collapsed="false">
      <c r="B10" s="4"/>
    </row>
    <row r="11" customFormat="false" ht="15" hidden="false" customHeight="false" outlineLevel="0" collapsed="false">
      <c r="B11" s="3" t="s">
        <v>7</v>
      </c>
    </row>
    <row r="12" customFormat="false" ht="15" hidden="false" customHeight="false" outlineLevel="0" collapsed="false">
      <c r="B12" s="4" t="s">
        <v>8</v>
      </c>
    </row>
    <row r="13" customFormat="false" ht="15" hidden="false" customHeight="false" outlineLevel="0" collapsed="false">
      <c r="B13" s="4" t="s">
        <v>9</v>
      </c>
    </row>
    <row r="14" customFormat="false" ht="15" hidden="false" customHeight="false" outlineLevel="0" collapsed="false">
      <c r="B14" s="4" t="s">
        <v>10</v>
      </c>
    </row>
    <row r="15" customFormat="false" ht="15" hidden="false" customHeight="false" outlineLevel="0" collapsed="false">
      <c r="B15" s="4" t="s">
        <v>11</v>
      </c>
    </row>
    <row r="16" customFormat="false" ht="15" hidden="false" customHeight="false" outlineLevel="0" collapsed="false">
      <c r="B16" s="4"/>
    </row>
    <row r="17" customFormat="false" ht="15" hidden="false" customHeight="false" outlineLevel="0" collapsed="false">
      <c r="B17" s="3" t="s">
        <v>12</v>
      </c>
    </row>
    <row r="18" customFormat="false" ht="15" hidden="false" customHeight="false" outlineLevel="0" collapsed="false">
      <c r="B18" s="4" t="s">
        <v>13</v>
      </c>
    </row>
    <row r="19" customFormat="false" ht="15" hidden="false" customHeight="false" outlineLevel="0" collapsed="false">
      <c r="B19" s="4" t="s">
        <v>14</v>
      </c>
    </row>
    <row r="20" customFormat="false" ht="26.85" hidden="false" customHeight="false" outlineLevel="0" collapsed="false">
      <c r="B20" s="4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4" min="2" style="0" width="13"/>
    <col collapsed="false" customWidth="true" hidden="false" outlineLevel="0" max="5" min="5" style="0" width="15"/>
    <col collapsed="false" customWidth="true" hidden="false" outlineLevel="0" max="6" min="6" style="0" width="12"/>
  </cols>
  <sheetData>
    <row r="1" customFormat="false" ht="19.7" hidden="false" customHeight="false" outlineLevel="0" collapsed="false">
      <c r="A1" s="1" t="s">
        <v>16</v>
      </c>
    </row>
    <row r="2" customFormat="false" ht="15" hidden="false" customHeight="false" outlineLevel="0" collapsed="false">
      <c r="A2" s="2" t="s">
        <v>17</v>
      </c>
    </row>
    <row r="4" customFormat="false" ht="15" hidden="false" customHeight="false" outlineLevel="0" collapsed="false">
      <c r="A4" s="5" t="s">
        <v>18</v>
      </c>
      <c r="B4" s="5" t="s">
        <v>19</v>
      </c>
      <c r="C4" s="5" t="s">
        <v>20</v>
      </c>
      <c r="D4" s="5" t="s">
        <v>21</v>
      </c>
      <c r="E4" s="5" t="s">
        <v>22</v>
      </c>
      <c r="F4" s="5" t="s">
        <v>23</v>
      </c>
    </row>
    <row r="5" customFormat="false" ht="15" hidden="false" customHeight="false" outlineLevel="0" collapsed="false">
      <c r="A5" s="6" t="s">
        <v>24</v>
      </c>
      <c r="B5" s="7" t="n">
        <v>0.2</v>
      </c>
      <c r="C5" s="7" t="n">
        <v>0.55</v>
      </c>
      <c r="D5" s="7" t="n">
        <v>0.2</v>
      </c>
      <c r="E5" s="7" t="n">
        <v>0.05</v>
      </c>
      <c r="F5" s="8" t="n">
        <f aca="false">SUM(B5:E5)</f>
        <v>1</v>
      </c>
    </row>
    <row r="6" customFormat="false" ht="15" hidden="false" customHeight="false" outlineLevel="0" collapsed="false">
      <c r="A6" s="6" t="s">
        <v>25</v>
      </c>
      <c r="B6" s="7" t="n">
        <v>0.45</v>
      </c>
      <c r="C6" s="7" t="n">
        <v>0.35</v>
      </c>
      <c r="D6" s="7" t="n">
        <v>0.1</v>
      </c>
      <c r="E6" s="7" t="n">
        <v>0.1</v>
      </c>
      <c r="F6" s="8" t="n">
        <f aca="false">SUM(B6:E6)</f>
        <v>1</v>
      </c>
    </row>
    <row r="7" customFormat="false" ht="15" hidden="false" customHeight="false" outlineLevel="0" collapsed="false">
      <c r="A7" s="6" t="s">
        <v>26</v>
      </c>
      <c r="B7" s="7" t="n">
        <v>0.65</v>
      </c>
      <c r="C7" s="7" t="n">
        <v>0.2</v>
      </c>
      <c r="D7" s="7" t="n">
        <v>0.05</v>
      </c>
      <c r="E7" s="7" t="n">
        <v>0.1</v>
      </c>
      <c r="F7" s="8" t="n">
        <f aca="false">SUM(B7:E7)</f>
        <v>1</v>
      </c>
    </row>
    <row r="8" customFormat="false" ht="15" hidden="false" customHeight="false" outlineLevel="0" collapsed="false">
      <c r="A8" s="6" t="s">
        <v>27</v>
      </c>
      <c r="B8" s="7" t="n">
        <v>0.85</v>
      </c>
      <c r="C8" s="7" t="n">
        <v>0.05</v>
      </c>
      <c r="D8" s="7" t="n">
        <v>0</v>
      </c>
      <c r="E8" s="7" t="n">
        <v>0.1</v>
      </c>
      <c r="F8" s="8" t="n">
        <f aca="false">SUM(B8:E8)</f>
        <v>1</v>
      </c>
    </row>
    <row r="10" customFormat="false" ht="22.35" hidden="false" customHeight="true" outlineLevel="0" collapsed="false">
      <c r="A10" s="9" t="s">
        <v>28</v>
      </c>
      <c r="B10" s="9"/>
      <c r="C10" s="9"/>
      <c r="D10" s="9"/>
      <c r="E10" s="9"/>
      <c r="F10" s="9"/>
    </row>
  </sheetData>
  <mergeCells count="1">
    <mergeCell ref="A10:F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20"/>
  </cols>
  <sheetData>
    <row r="1" customFormat="false" ht="19.7" hidden="false" customHeight="false" outlineLevel="0" collapsed="false">
      <c r="A1" s="1" t="s">
        <v>29</v>
      </c>
    </row>
    <row r="2" customFormat="false" ht="15" hidden="false" customHeight="false" outlineLevel="0" collapsed="false">
      <c r="A2" s="2" t="s">
        <v>30</v>
      </c>
    </row>
    <row r="4" customFormat="false" ht="15" hidden="false" customHeight="false" outlineLevel="0" collapsed="false">
      <c r="A4" s="6" t="s">
        <v>31</v>
      </c>
      <c r="B4" s="10" t="s">
        <v>32</v>
      </c>
    </row>
    <row r="5" customFormat="false" ht="15" hidden="false" customHeight="false" outlineLevel="0" collapsed="false">
      <c r="A5" s="6" t="s">
        <v>33</v>
      </c>
      <c r="B5" s="11" t="n">
        <v>500000</v>
      </c>
    </row>
    <row r="6" customFormat="false" ht="15" hidden="false" customHeight="false" outlineLevel="0" collapsed="false">
      <c r="A6" s="6" t="s">
        <v>18</v>
      </c>
      <c r="B6" s="10" t="s">
        <v>25</v>
      </c>
    </row>
    <row r="8" customFormat="false" ht="15" hidden="false" customHeight="false" outlineLevel="0" collapsed="false">
      <c r="A8" s="5" t="s">
        <v>34</v>
      </c>
      <c r="B8" s="5" t="s">
        <v>35</v>
      </c>
      <c r="C8" s="5" t="s">
        <v>36</v>
      </c>
    </row>
    <row r="9" customFormat="false" ht="15" hidden="false" customHeight="false" outlineLevel="0" collapsed="false">
      <c r="A9" s="12" t="s">
        <v>19</v>
      </c>
      <c r="B9" s="8" t="n">
        <f aca="false">INDEX('Risk Profiles'!$B$5:$B$8,MATCH($B$6,'Risk Profiles'!$A$5:$A$8,0))</f>
        <v>0.45</v>
      </c>
      <c r="C9" s="13" t="n">
        <f aca="false">B9*$B$5</f>
        <v>225000</v>
      </c>
    </row>
    <row r="10" customFormat="false" ht="15" hidden="false" customHeight="false" outlineLevel="0" collapsed="false">
      <c r="A10" s="12" t="s">
        <v>20</v>
      </c>
      <c r="B10" s="8" t="n">
        <f aca="false">INDEX('Risk Profiles'!$C$5:$C$8,MATCH($B$6,'Risk Profiles'!$A$5:$A$8,0))</f>
        <v>0.35</v>
      </c>
      <c r="C10" s="13" t="n">
        <f aca="false">B10*$B$5</f>
        <v>175000</v>
      </c>
    </row>
    <row r="11" customFormat="false" ht="15" hidden="false" customHeight="false" outlineLevel="0" collapsed="false">
      <c r="A11" s="12" t="s">
        <v>21</v>
      </c>
      <c r="B11" s="8" t="n">
        <f aca="false">INDEX('Risk Profiles'!$D$5:$D$8,MATCH($B$6,'Risk Profiles'!$A$5:$A$8,0))</f>
        <v>0.1</v>
      </c>
      <c r="C11" s="13" t="n">
        <f aca="false">B11*$B$5</f>
        <v>50000</v>
      </c>
    </row>
    <row r="12" customFormat="false" ht="15" hidden="false" customHeight="false" outlineLevel="0" collapsed="false">
      <c r="A12" s="12" t="s">
        <v>22</v>
      </c>
      <c r="B12" s="8" t="n">
        <f aca="false">INDEX('Risk Profiles'!$E$5:$E$8,MATCH($B$6,'Risk Profiles'!$A$5:$A$8,0))</f>
        <v>0.1</v>
      </c>
      <c r="C12" s="13" t="n">
        <f aca="false">B12*$B$5</f>
        <v>50000</v>
      </c>
    </row>
    <row r="13" customFormat="false" ht="15" hidden="false" customHeight="false" outlineLevel="0" collapsed="false">
      <c r="A13" s="14" t="s">
        <v>23</v>
      </c>
      <c r="B13" s="15" t="n">
        <f aca="false">SUM(B9:B12)</f>
        <v>1</v>
      </c>
      <c r="C13" s="16" t="n">
        <f aca="false">SUM(C9:C12)</f>
        <v>500000</v>
      </c>
    </row>
  </sheetData>
  <dataValidations count="1">
    <dataValidation allowBlank="false" error="Choose a risk profile from the Risk Profiles tab list." errorStyle="stop" errorTitle="Invalid entry" operator="between" showDropDown="false" showErrorMessage="true" showInputMessage="false" sqref="B6" type="list">
      <formula1>'Risk Profiles'!$A$5:$A$8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5" min="3" style="0" width="15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4"/>
  </cols>
  <sheetData>
    <row r="1" customFormat="false" ht="19.7" hidden="false" customHeight="false" outlineLevel="0" collapsed="false">
      <c r="A1" s="1" t="s">
        <v>37</v>
      </c>
    </row>
    <row r="2" customFormat="false" ht="15" hidden="false" customHeight="false" outlineLevel="0" collapsed="false">
      <c r="A2" s="2" t="s">
        <v>38</v>
      </c>
    </row>
    <row r="4" customFormat="false" ht="15" hidden="false" customHeight="false" outlineLevel="0" collapsed="false">
      <c r="A4" s="6" t="s">
        <v>31</v>
      </c>
      <c r="B4" s="17" t="str">
        <f aca="false">'Model Portfolio Builder'!B4</f>
        <v>Jane Sample</v>
      </c>
    </row>
    <row r="5" customFormat="false" ht="15" hidden="false" customHeight="false" outlineLevel="0" collapsed="false">
      <c r="A5" s="6" t="s">
        <v>33</v>
      </c>
      <c r="B5" s="18" t="n">
        <f aca="false">'Model Portfolio Builder'!B5</f>
        <v>500000</v>
      </c>
    </row>
    <row r="6" customFormat="false" ht="15" hidden="false" customHeight="false" outlineLevel="0" collapsed="false">
      <c r="A6" s="6" t="s">
        <v>18</v>
      </c>
      <c r="B6" s="17" t="str">
        <f aca="false">'Model Portfolio Builder'!B6</f>
        <v>Balanced</v>
      </c>
    </row>
    <row r="8" customFormat="false" ht="15" hidden="false" customHeight="false" outlineLevel="0" collapsed="false">
      <c r="A8" s="5" t="s">
        <v>34</v>
      </c>
      <c r="B8" s="5" t="s">
        <v>35</v>
      </c>
      <c r="C8" s="5" t="s">
        <v>39</v>
      </c>
      <c r="D8" s="5" t="s">
        <v>40</v>
      </c>
      <c r="E8" s="5" t="s">
        <v>41</v>
      </c>
      <c r="F8" s="5" t="s">
        <v>42</v>
      </c>
      <c r="G8" s="5" t="s">
        <v>43</v>
      </c>
      <c r="H8" s="5" t="s">
        <v>44</v>
      </c>
      <c r="I8" s="5" t="s">
        <v>45</v>
      </c>
    </row>
    <row r="9" customFormat="false" ht="15" hidden="false" customHeight="false" outlineLevel="0" collapsed="false">
      <c r="A9" s="12" t="s">
        <v>19</v>
      </c>
      <c r="B9" s="19" t="n">
        <f aca="false">'Model Portfolio Builder'!B9</f>
        <v>0.45</v>
      </c>
      <c r="C9" s="18" t="n">
        <f aca="false">'Model Portfolio Builder'!C9</f>
        <v>225000</v>
      </c>
      <c r="D9" s="11" t="n">
        <v>250000</v>
      </c>
      <c r="E9" s="8" t="n">
        <f aca="false">IFERROR(D9/SUM($D$9:$D$12),0)</f>
        <v>0.5</v>
      </c>
      <c r="F9" s="13" t="n">
        <f aca="false">D9-C9</f>
        <v>25000</v>
      </c>
      <c r="G9" s="8" t="n">
        <f aca="false">IFERROR(F9/C9,0)</f>
        <v>0.111111111111111</v>
      </c>
      <c r="H9" s="20" t="str">
        <f aca="false">IF(F9&lt;0,"Buy",IF(F9&gt;0,"Sell","Hold"))</f>
        <v>Sell</v>
      </c>
      <c r="I9" s="13" t="n">
        <f aca="false">ABS(F9)</f>
        <v>25000</v>
      </c>
    </row>
    <row r="10" customFormat="false" ht="15" hidden="false" customHeight="false" outlineLevel="0" collapsed="false">
      <c r="A10" s="12" t="s">
        <v>20</v>
      </c>
      <c r="B10" s="19" t="n">
        <f aca="false">'Model Portfolio Builder'!B10</f>
        <v>0.35</v>
      </c>
      <c r="C10" s="18" t="n">
        <f aca="false">'Model Portfolio Builder'!C10</f>
        <v>175000</v>
      </c>
      <c r="D10" s="11" t="n">
        <v>130000</v>
      </c>
      <c r="E10" s="8" t="n">
        <f aca="false">IFERROR(D10/SUM($D$9:$D$12),0)</f>
        <v>0.26</v>
      </c>
      <c r="F10" s="13" t="n">
        <f aca="false">D10-C10</f>
        <v>-45000</v>
      </c>
      <c r="G10" s="8" t="n">
        <f aca="false">IFERROR(F10/C10,0)</f>
        <v>-0.257142857142857</v>
      </c>
      <c r="H10" s="20" t="str">
        <f aca="false">IF(F10&lt;0,"Buy",IF(F10&gt;0,"Sell","Hold"))</f>
        <v>Buy</v>
      </c>
      <c r="I10" s="13" t="n">
        <f aca="false">ABS(F10)</f>
        <v>45000</v>
      </c>
    </row>
    <row r="11" customFormat="false" ht="15" hidden="false" customHeight="false" outlineLevel="0" collapsed="false">
      <c r="A11" s="12" t="s">
        <v>21</v>
      </c>
      <c r="B11" s="19" t="n">
        <f aca="false">'Model Portfolio Builder'!B11</f>
        <v>0.1</v>
      </c>
      <c r="C11" s="18" t="n">
        <f aca="false">'Model Portfolio Builder'!C11</f>
        <v>50000</v>
      </c>
      <c r="D11" s="11" t="n">
        <v>90000</v>
      </c>
      <c r="E11" s="8" t="n">
        <f aca="false">IFERROR(D11/SUM($D$9:$D$12),0)</f>
        <v>0.18</v>
      </c>
      <c r="F11" s="13" t="n">
        <f aca="false">D11-C11</f>
        <v>40000</v>
      </c>
      <c r="G11" s="8" t="n">
        <f aca="false">IFERROR(F11/C11,0)</f>
        <v>0.8</v>
      </c>
      <c r="H11" s="20" t="str">
        <f aca="false">IF(F11&lt;0,"Buy",IF(F11&gt;0,"Sell","Hold"))</f>
        <v>Sell</v>
      </c>
      <c r="I11" s="13" t="n">
        <f aca="false">ABS(F11)</f>
        <v>40000</v>
      </c>
    </row>
    <row r="12" customFormat="false" ht="15" hidden="false" customHeight="false" outlineLevel="0" collapsed="false">
      <c r="A12" s="12" t="s">
        <v>22</v>
      </c>
      <c r="B12" s="19" t="n">
        <f aca="false">'Model Portfolio Builder'!B12</f>
        <v>0.1</v>
      </c>
      <c r="C12" s="18" t="n">
        <f aca="false">'Model Portfolio Builder'!C12</f>
        <v>50000</v>
      </c>
      <c r="D12" s="11" t="n">
        <v>30000</v>
      </c>
      <c r="E12" s="8" t="n">
        <f aca="false">IFERROR(D12/SUM($D$9:$D$12),0)</f>
        <v>0.06</v>
      </c>
      <c r="F12" s="13" t="n">
        <f aca="false">D12-C12</f>
        <v>-20000</v>
      </c>
      <c r="G12" s="8" t="n">
        <f aca="false">IFERROR(F12/C12,0)</f>
        <v>-0.4</v>
      </c>
      <c r="H12" s="20" t="str">
        <f aca="false">IF(F12&lt;0,"Buy",IF(F12&gt;0,"Sell","Hold"))</f>
        <v>Buy</v>
      </c>
      <c r="I12" s="13" t="n">
        <f aca="false">ABS(F12)</f>
        <v>20000</v>
      </c>
    </row>
    <row r="13" customFormat="false" ht="15" hidden="false" customHeight="false" outlineLevel="0" collapsed="false">
      <c r="A13" s="14" t="s">
        <v>23</v>
      </c>
      <c r="B13" s="15" t="n">
        <f aca="false">SUM(B9:B12)</f>
        <v>1</v>
      </c>
      <c r="C13" s="16" t="n">
        <f aca="false">SUM(C9:C12)</f>
        <v>500000</v>
      </c>
      <c r="D13" s="16" t="n">
        <f aca="false">SUM(D9:D12)</f>
        <v>500000</v>
      </c>
      <c r="E13" s="15" t="n">
        <f aca="false">SUM(E9:E12)</f>
        <v>1</v>
      </c>
      <c r="F13" s="16" t="n">
        <f aca="false">SUM(F9:F12)</f>
        <v>0</v>
      </c>
      <c r="G13" s="21"/>
      <c r="H13" s="21"/>
      <c r="I13" s="16" t="n">
        <f aca="false">SUM(I9:I12)</f>
        <v>130000</v>
      </c>
    </row>
    <row r="15" customFormat="false" ht="22.35" hidden="false" customHeight="true" outlineLevel="0" collapsed="false">
      <c r="A15" s="9" t="s">
        <v>46</v>
      </c>
      <c r="B15" s="9"/>
      <c r="C15" s="9"/>
      <c r="D15" s="9"/>
      <c r="E15" s="9"/>
      <c r="F15" s="9"/>
      <c r="G15" s="9"/>
      <c r="H15" s="9"/>
      <c r="I15" s="9"/>
    </row>
  </sheetData>
  <mergeCells count="1">
    <mergeCell ref="A15:I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3"/>
    <col collapsed="false" customWidth="true" hidden="false" outlineLevel="0" max="6" min="6" style="0" width="24"/>
    <col collapsed="false" customWidth="true" hidden="false" outlineLevel="0" max="7" min="7" style="0" width="16"/>
  </cols>
  <sheetData>
    <row r="1" customFormat="false" ht="19.7" hidden="false" customHeight="false" outlineLevel="0" collapsed="false">
      <c r="A1" s="1" t="s">
        <v>47</v>
      </c>
    </row>
    <row r="2" customFormat="false" ht="15" hidden="false" customHeight="false" outlineLevel="0" collapsed="false">
      <c r="A2" s="2" t="s">
        <v>48</v>
      </c>
    </row>
    <row r="4" customFormat="false" ht="15" hidden="false" customHeight="false" outlineLevel="0" collapsed="false">
      <c r="A4" s="6" t="s">
        <v>49</v>
      </c>
      <c r="B4" s="22"/>
      <c r="C4" s="10" t="n">
        <v>12</v>
      </c>
    </row>
    <row r="6" customFormat="false" ht="26.85" hidden="false" customHeight="false" outlineLevel="0" collapsed="false">
      <c r="A6" s="5" t="s">
        <v>50</v>
      </c>
      <c r="B6" s="5" t="s">
        <v>51</v>
      </c>
      <c r="C6" s="5" t="s">
        <v>52</v>
      </c>
      <c r="D6" s="5" t="s">
        <v>53</v>
      </c>
      <c r="F6" s="23" t="s">
        <v>54</v>
      </c>
      <c r="G6" s="23"/>
    </row>
    <row r="7" customFormat="false" ht="15" hidden="false" customHeight="false" outlineLevel="0" collapsed="false">
      <c r="A7" s="24" t="n">
        <v>45685</v>
      </c>
      <c r="B7" s="11" t="n">
        <v>500000</v>
      </c>
      <c r="C7" s="25"/>
      <c r="D7" s="25" t="n">
        <v>0</v>
      </c>
      <c r="F7" s="6" t="s">
        <v>55</v>
      </c>
      <c r="G7" s="26" t="n">
        <f aca="false">A7</f>
        <v>45685</v>
      </c>
    </row>
    <row r="8" customFormat="false" ht="15" hidden="false" customHeight="false" outlineLevel="0" collapsed="false">
      <c r="A8" s="24" t="n">
        <v>45716</v>
      </c>
      <c r="B8" s="11" t="n">
        <v>508500</v>
      </c>
      <c r="C8" s="8" t="n">
        <f aca="false">B8/B7-1</f>
        <v>0.0169999999999999</v>
      </c>
      <c r="D8" s="8" t="n">
        <f aca="false">B8/$B$7-1</f>
        <v>0.0169999999999999</v>
      </c>
      <c r="F8" s="6" t="s">
        <v>56</v>
      </c>
      <c r="G8" s="26" t="n">
        <f aca="false">INDEX(A7:A19,MATCH(MAX(A7:A19),A7:A19,0))</f>
        <v>46050</v>
      </c>
    </row>
    <row r="9" customFormat="false" ht="15" hidden="false" customHeight="false" outlineLevel="0" collapsed="false">
      <c r="A9" s="24" t="n">
        <v>45744</v>
      </c>
      <c r="B9" s="11" t="n">
        <v>495200</v>
      </c>
      <c r="C9" s="8" t="n">
        <f aca="false">B9/B8-1</f>
        <v>-0.0261553588987218</v>
      </c>
      <c r="D9" s="8" t="n">
        <f aca="false">B9/$B$7-1</f>
        <v>-0.00960000000000005</v>
      </c>
      <c r="F9" s="6" t="s">
        <v>57</v>
      </c>
      <c r="G9" s="13" t="n">
        <f aca="false">B7</f>
        <v>500000</v>
      </c>
    </row>
    <row r="10" customFormat="false" ht="15" hidden="false" customHeight="false" outlineLevel="0" collapsed="false">
      <c r="A10" s="24" t="n">
        <v>45775</v>
      </c>
      <c r="B10" s="11" t="n">
        <v>512800</v>
      </c>
      <c r="C10" s="8" t="n">
        <f aca="false">B10/B9-1</f>
        <v>0.0355411954765752</v>
      </c>
      <c r="D10" s="8" t="n">
        <f aca="false">B10/$B$7-1</f>
        <v>0.0256000000000001</v>
      </c>
      <c r="F10" s="6" t="s">
        <v>58</v>
      </c>
      <c r="G10" s="13" t="n">
        <f aca="false">INDEX(B7:B19,MATCH(MAX(A7:A19),A7:A19,0))</f>
        <v>566900</v>
      </c>
    </row>
    <row r="11" customFormat="false" ht="15" hidden="false" customHeight="false" outlineLevel="0" collapsed="false">
      <c r="A11" s="24" t="n">
        <v>45805</v>
      </c>
      <c r="B11" s="11" t="n">
        <v>520100</v>
      </c>
      <c r="C11" s="8" t="n">
        <f aca="false">B11/B10-1</f>
        <v>0.0142355694227769</v>
      </c>
      <c r="D11" s="8" t="n">
        <f aca="false">B11/$B$7-1</f>
        <v>0.0402</v>
      </c>
      <c r="F11" s="6" t="s">
        <v>59</v>
      </c>
      <c r="G11" s="8" t="n">
        <f aca="false">G10/G9-1</f>
        <v>0.1338</v>
      </c>
    </row>
    <row r="12" customFormat="false" ht="15" hidden="false" customHeight="false" outlineLevel="0" collapsed="false">
      <c r="A12" s="24" t="n">
        <v>45836</v>
      </c>
      <c r="B12" s="11" t="n">
        <v>517600</v>
      </c>
      <c r="C12" s="8" t="n">
        <f aca="false">B12/B11-1</f>
        <v>-0.00480676792924439</v>
      </c>
      <c r="D12" s="8" t="n">
        <f aca="false">B12/$B$7-1</f>
        <v>0.0351999999999999</v>
      </c>
      <c r="F12" s="6" t="s">
        <v>60</v>
      </c>
      <c r="G12" s="27" t="n">
        <f aca="false">(G8-G7)/365.25</f>
        <v>0.999315537303217</v>
      </c>
    </row>
    <row r="13" customFormat="false" ht="15" hidden="false" customHeight="false" outlineLevel="0" collapsed="false">
      <c r="A13" s="24" t="n">
        <v>45866</v>
      </c>
      <c r="B13" s="11" t="n">
        <v>531900</v>
      </c>
      <c r="C13" s="8" t="n">
        <f aca="false">B13/B12-1</f>
        <v>0.0276275115919629</v>
      </c>
      <c r="D13" s="8" t="n">
        <f aca="false">B13/$B$7-1</f>
        <v>0.0638000000000001</v>
      </c>
      <c r="F13" s="6" t="s">
        <v>61</v>
      </c>
      <c r="G13" s="8" t="n">
        <f aca="false">IFERROR((G10/G9)^(1/G12)-1,"")</f>
        <v>0.133897522505007</v>
      </c>
    </row>
    <row r="14" customFormat="false" ht="15" hidden="false" customHeight="false" outlineLevel="0" collapsed="false">
      <c r="A14" s="24" t="n">
        <v>45897</v>
      </c>
      <c r="B14" s="11" t="n">
        <v>540200</v>
      </c>
      <c r="C14" s="8" t="n">
        <f aca="false">B14/B13-1</f>
        <v>0.0156044369242339</v>
      </c>
      <c r="D14" s="8" t="n">
        <f aca="false">B14/$B$7-1</f>
        <v>0.0804</v>
      </c>
      <c r="F14" s="6" t="s">
        <v>62</v>
      </c>
      <c r="G14" s="8" t="n">
        <f aca="false">AVERAGE(C8:C19)</f>
        <v>0.0106781409367628</v>
      </c>
    </row>
    <row r="15" customFormat="false" ht="15" hidden="false" customHeight="false" outlineLevel="0" collapsed="false">
      <c r="A15" s="24" t="n">
        <v>45928</v>
      </c>
      <c r="B15" s="11" t="n">
        <v>536700</v>
      </c>
      <c r="C15" s="8" t="n">
        <f aca="false">B15/B14-1</f>
        <v>-0.00647908182154755</v>
      </c>
      <c r="D15" s="8" t="n">
        <f aca="false">B15/$B$7-1</f>
        <v>0.0733999999999999</v>
      </c>
      <c r="F15" s="6" t="s">
        <v>63</v>
      </c>
      <c r="G15" s="8" t="n">
        <f aca="false">STDEV(C8:C19)*SQRT($C$4)</f>
        <v>0.0645479359198488</v>
      </c>
    </row>
    <row r="16" customFormat="false" ht="15" hidden="false" customHeight="false" outlineLevel="0" collapsed="false">
      <c r="A16" s="24" t="n">
        <v>45958</v>
      </c>
      <c r="B16" s="11" t="n">
        <v>549800</v>
      </c>
      <c r="C16" s="8" t="n">
        <f aca="false">B16/B15-1</f>
        <v>0.024408421837153</v>
      </c>
      <c r="D16" s="8" t="n">
        <f aca="false">B16/$B$7-1</f>
        <v>0.0995999999999999</v>
      </c>
      <c r="F16" s="6" t="s">
        <v>64</v>
      </c>
      <c r="G16" s="8" t="n">
        <f aca="false">MAX(C8:C19)</f>
        <v>0.0355411954765752</v>
      </c>
    </row>
    <row r="17" customFormat="false" ht="15" hidden="false" customHeight="false" outlineLevel="0" collapsed="false">
      <c r="A17" s="24" t="n">
        <v>45989</v>
      </c>
      <c r="B17" s="11" t="n">
        <v>558300</v>
      </c>
      <c r="C17" s="8" t="n">
        <f aca="false">B17/B16-1</f>
        <v>0.0154601673335759</v>
      </c>
      <c r="D17" s="8" t="n">
        <f aca="false">B17/$B$7-1</f>
        <v>0.1166</v>
      </c>
      <c r="F17" s="6" t="s">
        <v>65</v>
      </c>
      <c r="G17" s="8" t="n">
        <f aca="false">MIN(C8:C19)</f>
        <v>-0.0261553588987218</v>
      </c>
    </row>
    <row r="18" customFormat="false" ht="15" hidden="false" customHeight="false" outlineLevel="0" collapsed="false">
      <c r="A18" s="24" t="n">
        <v>46019</v>
      </c>
      <c r="B18" s="11" t="n">
        <v>552100</v>
      </c>
      <c r="C18" s="8" t="n">
        <f aca="false">B18/B17-1</f>
        <v>-0.0111051406054092</v>
      </c>
      <c r="D18" s="8" t="n">
        <f aca="false">B18/$B$7-1</f>
        <v>0.1042</v>
      </c>
    </row>
    <row r="19" customFormat="false" ht="15" hidden="false" customHeight="false" outlineLevel="0" collapsed="false">
      <c r="A19" s="24" t="n">
        <v>46050</v>
      </c>
      <c r="B19" s="11" t="n">
        <v>566900</v>
      </c>
      <c r="C19" s="8" t="n">
        <f aca="false">B19/B18-1</f>
        <v>0.0268067379097989</v>
      </c>
      <c r="D19" s="8" t="n">
        <f aca="false">B19/$B$7-1</f>
        <v>0.1338</v>
      </c>
    </row>
    <row r="21" customFormat="false" ht="43.25" hidden="false" customHeight="true" outlineLevel="0" collapsed="false">
      <c r="A21" s="9" t="s">
        <v>66</v>
      </c>
      <c r="B21" s="9"/>
      <c r="C21" s="9"/>
      <c r="D21" s="9"/>
    </row>
  </sheetData>
  <mergeCells count="2">
    <mergeCell ref="F6:G6"/>
    <mergeCell ref="A21:D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2026-08-25T12:24:45Z</dcterms:created>
  <dc:creator>openpyxl</dc:creator>
  <dc:description/>
  <dc:language>en-US</dc:language>
  <cp:lastModifiedBy/>
  <dcterms:modified xsi:type="dcterms:W3CDTF">2026-08-25T12:24:46Z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